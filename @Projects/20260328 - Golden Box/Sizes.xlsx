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ove\my-git\arquivos\@Projetos\20251128 Usar o Fab lab\Ideias\Laser Cutter\20260328 Golden Box\"/>
    </mc:Choice>
  </mc:AlternateContent>
  <xr:revisionPtr revIDLastSave="0" documentId="13_ncr:1_{17414034-91CF-4CD8-B0A9-B2D438BE3582}" xr6:coauthVersionLast="47" xr6:coauthVersionMax="47" xr10:uidLastSave="{00000000-0000-0000-0000-000000000000}"/>
  <bookViews>
    <workbookView xWindow="-120" yWindow="-120" windowWidth="38640" windowHeight="15720" xr2:uid="{9C3B5226-D47D-471B-8BC1-EECCE0933F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K4" i="1" s="1"/>
  <c r="H3" i="1"/>
  <c r="H2" i="1"/>
  <c r="H9" i="1"/>
  <c r="H8" i="1"/>
  <c r="H7" i="1"/>
  <c r="H6" i="1"/>
  <c r="K6" i="1" s="1"/>
  <c r="K9" i="1"/>
  <c r="J9" i="1"/>
  <c r="I9" i="1"/>
  <c r="K8" i="1"/>
  <c r="J8" i="1"/>
  <c r="I8" i="1"/>
  <c r="K7" i="1"/>
  <c r="J7" i="1"/>
  <c r="I7" i="1"/>
  <c r="J6" i="1"/>
  <c r="I6" i="1"/>
  <c r="K5" i="1"/>
  <c r="J5" i="1"/>
  <c r="I5" i="1"/>
  <c r="J4" i="1"/>
  <c r="I4" i="1"/>
  <c r="K3" i="1"/>
  <c r="J3" i="1"/>
  <c r="I3" i="1"/>
  <c r="K2" i="1"/>
  <c r="J2" i="1"/>
  <c r="I2" i="1"/>
  <c r="C10" i="1"/>
  <c r="B10" i="1"/>
  <c r="F10" i="1" s="1"/>
  <c r="G10" i="1" s="1"/>
  <c r="G9" i="1"/>
  <c r="G8" i="1"/>
  <c r="G7" i="1"/>
  <c r="G6" i="1"/>
  <c r="G5" i="1"/>
  <c r="G4" i="1"/>
  <c r="G3" i="1"/>
  <c r="G2" i="1"/>
  <c r="F9" i="1"/>
  <c r="F8" i="1"/>
  <c r="F7" i="1"/>
  <c r="F6" i="1"/>
  <c r="F5" i="1"/>
  <c r="F4" i="1"/>
  <c r="F3" i="1"/>
  <c r="F2" i="1"/>
  <c r="B4" i="1"/>
  <c r="B5" i="1"/>
  <c r="C4" i="1"/>
  <c r="B3" i="1" s="1"/>
  <c r="C2" i="1" s="1"/>
  <c r="C3" i="1"/>
  <c r="B2" i="1" s="1"/>
  <c r="C5" i="1"/>
  <c r="C8" i="1"/>
  <c r="B9" i="1" s="1"/>
  <c r="B8" i="1"/>
  <c r="C9" i="1" s="1"/>
  <c r="B7" i="1"/>
  <c r="C7" i="1"/>
</calcChain>
</file>

<file path=xl/sharedStrings.xml><?xml version="1.0" encoding="utf-8"?>
<sst xmlns="http://schemas.openxmlformats.org/spreadsheetml/2006/main" count="17" uniqueCount="17">
  <si>
    <t>A</t>
  </si>
  <si>
    <t>A0</t>
  </si>
  <si>
    <t>A1</t>
  </si>
  <si>
    <t>A2</t>
  </si>
  <si>
    <t>A3</t>
  </si>
  <si>
    <t>A4</t>
  </si>
  <si>
    <t>A5</t>
  </si>
  <si>
    <t>A6</t>
  </si>
  <si>
    <t>A7</t>
  </si>
  <si>
    <t>X</t>
  </si>
  <si>
    <t>Y</t>
  </si>
  <si>
    <t>Folga</t>
  </si>
  <si>
    <t>Larg Material</t>
  </si>
  <si>
    <t>Ext X</t>
  </si>
  <si>
    <t>Ext Y</t>
  </si>
  <si>
    <t>Ext Z</t>
  </si>
  <si>
    <t>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</si>
</sst>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920D-85DD-4145-88E5-FFEB29188960}">
  <dimension ref="A1:K10"/>
  <sheetViews>
    <sheetView tabSelected="1" workbookViewId="0">
      <selection activeCell="K8" sqref="K8"/>
    </sheetView>
  </sheetViews>
  <sheetFormatPr defaultRowHeight="15" x14ac:dyDescent="0.25"/>
  <sheetData>
    <row r="1" spans="1:11" x14ac:dyDescent="0.25">
      <c r="A1" t="s">
        <v>0</v>
      </c>
      <c r="B1" t="s">
        <v>9</v>
      </c>
      <c r="C1" t="s">
        <v>10</v>
      </c>
      <c r="D1" t="s">
        <v>12</v>
      </c>
      <c r="E1" t="s">
        <v>11</v>
      </c>
      <c r="F1" t="s">
        <v>13</v>
      </c>
      <c r="G1" t="s">
        <v>14</v>
      </c>
      <c r="H1" t="s">
        <v>15</v>
      </c>
    </row>
    <row r="2" spans="1:11" x14ac:dyDescent="0.25">
      <c r="A2" t="s">
        <v>1</v>
      </c>
      <c r="B2">
        <f t="shared" ref="B2:B5" si="0">C3*2</f>
        <v>1188</v>
      </c>
      <c r="C2">
        <f t="shared" ref="C2:C5" si="1">B3</f>
        <v>840</v>
      </c>
      <c r="D2">
        <v>3</v>
      </c>
      <c r="E2">
        <v>3</v>
      </c>
      <c r="F2">
        <f>B2+D2*2+E2*2</f>
        <v>1200</v>
      </c>
      <c r="G2">
        <f>F2*C2/B2</f>
        <v>848.4848484848485</v>
      </c>
      <c r="H2">
        <f t="shared" ref="H2:H6" si="2">G3-D2</f>
        <v>599.48571428571427</v>
      </c>
      <c r="I2" t="str">
        <f>SUBSTITUTE(TEXT(F2,"0,00"),",",".")</f>
        <v>1200.00</v>
      </c>
      <c r="J2" t="str">
        <f t="shared" ref="J2:J9" si="3">SUBSTITUTE(TEXT(G2,"0,00"),",",".")</f>
        <v>848.48</v>
      </c>
      <c r="K2" t="str">
        <f t="shared" ref="K2:K9" si="4">SUBSTITUTE(TEXT(H2,"0,00"),",",".")</f>
        <v>599.49</v>
      </c>
    </row>
    <row r="3" spans="1:11" x14ac:dyDescent="0.25">
      <c r="A3" t="s">
        <v>2</v>
      </c>
      <c r="B3">
        <f t="shared" si="0"/>
        <v>840</v>
      </c>
      <c r="C3">
        <f t="shared" si="1"/>
        <v>594</v>
      </c>
      <c r="D3">
        <v>3</v>
      </c>
      <c r="E3">
        <v>3</v>
      </c>
      <c r="F3">
        <f t="shared" ref="F3:F9" si="5">B3+D3*2+E3*2</f>
        <v>852</v>
      </c>
      <c r="G3">
        <f t="shared" ref="G3:G9" si="6">F3*C3/B3</f>
        <v>602.48571428571427</v>
      </c>
      <c r="H3">
        <f t="shared" si="2"/>
        <v>425.4848484848485</v>
      </c>
      <c r="I3" t="str">
        <f t="shared" ref="I3:I9" si="7">SUBSTITUTE(TEXT(F3,"0,00"),",",".")</f>
        <v>852.00</v>
      </c>
      <c r="J3" t="str">
        <f t="shared" si="3"/>
        <v>602.49</v>
      </c>
      <c r="K3" t="str">
        <f t="shared" si="4"/>
        <v>425.48</v>
      </c>
    </row>
    <row r="4" spans="1:11" x14ac:dyDescent="0.25">
      <c r="A4" t="s">
        <v>3</v>
      </c>
      <c r="B4">
        <f t="shared" si="0"/>
        <v>594</v>
      </c>
      <c r="C4">
        <f t="shared" si="1"/>
        <v>420</v>
      </c>
      <c r="D4">
        <v>3</v>
      </c>
      <c r="E4">
        <v>3</v>
      </c>
      <c r="F4">
        <f t="shared" si="5"/>
        <v>606</v>
      </c>
      <c r="G4">
        <f t="shared" si="6"/>
        <v>428.4848484848485</v>
      </c>
      <c r="H4">
        <f t="shared" si="2"/>
        <v>302.48571428571427</v>
      </c>
      <c r="I4" t="str">
        <f t="shared" si="7"/>
        <v>606.00</v>
      </c>
      <c r="J4" t="str">
        <f t="shared" si="3"/>
        <v>428.48</v>
      </c>
      <c r="K4" t="str">
        <f t="shared" si="4"/>
        <v>302.49</v>
      </c>
    </row>
    <row r="5" spans="1:11" x14ac:dyDescent="0.25">
      <c r="A5" t="s">
        <v>4</v>
      </c>
      <c r="B5">
        <f>C6*2</f>
        <v>420</v>
      </c>
      <c r="C5">
        <f>B6</f>
        <v>297</v>
      </c>
      <c r="D5">
        <v>3</v>
      </c>
      <c r="E5">
        <v>3</v>
      </c>
      <c r="F5">
        <f t="shared" si="5"/>
        <v>432</v>
      </c>
      <c r="G5">
        <f t="shared" si="6"/>
        <v>305.48571428571427</v>
      </c>
      <c r="H5">
        <f t="shared" si="2"/>
        <v>215.4848484848485</v>
      </c>
      <c r="I5" t="str">
        <f t="shared" si="7"/>
        <v>432.00</v>
      </c>
      <c r="J5" t="str">
        <f t="shared" si="3"/>
        <v>305.49</v>
      </c>
      <c r="K5" t="str">
        <f t="shared" si="4"/>
        <v>215.48</v>
      </c>
    </row>
    <row r="6" spans="1:11" x14ac:dyDescent="0.25">
      <c r="A6" t="s">
        <v>5</v>
      </c>
      <c r="B6">
        <v>297</v>
      </c>
      <c r="C6">
        <v>210</v>
      </c>
      <c r="D6">
        <v>3</v>
      </c>
      <c r="E6">
        <v>3</v>
      </c>
      <c r="F6">
        <f t="shared" si="5"/>
        <v>309</v>
      </c>
      <c r="G6">
        <f t="shared" si="6"/>
        <v>218.4848484848485</v>
      </c>
      <c r="H6">
        <f>G7-D6</f>
        <v>153.98571428571429</v>
      </c>
      <c r="I6" t="str">
        <f t="shared" si="7"/>
        <v>309.00</v>
      </c>
      <c r="J6" t="str">
        <f t="shared" si="3"/>
        <v>218.48</v>
      </c>
      <c r="K6" t="str">
        <f t="shared" si="4"/>
        <v>153.99</v>
      </c>
    </row>
    <row r="7" spans="1:11" x14ac:dyDescent="0.25">
      <c r="A7" t="s">
        <v>6</v>
      </c>
      <c r="B7">
        <f>C6</f>
        <v>210</v>
      </c>
      <c r="C7">
        <f>B6/2</f>
        <v>148.5</v>
      </c>
      <c r="D7">
        <v>3</v>
      </c>
      <c r="E7">
        <v>3</v>
      </c>
      <c r="F7">
        <f t="shared" si="5"/>
        <v>222</v>
      </c>
      <c r="G7">
        <f t="shared" si="6"/>
        <v>156.98571428571429</v>
      </c>
      <c r="H7">
        <f t="shared" ref="H7:H9" si="8">G8-D7</f>
        <v>110.48484848484848</v>
      </c>
      <c r="I7" t="str">
        <f t="shared" si="7"/>
        <v>222.00</v>
      </c>
      <c r="J7" t="str">
        <f t="shared" si="3"/>
        <v>156.99</v>
      </c>
      <c r="K7" t="str">
        <f t="shared" si="4"/>
        <v>110.48</v>
      </c>
    </row>
    <row r="8" spans="1:11" x14ac:dyDescent="0.25">
      <c r="A8" t="s">
        <v>7</v>
      </c>
      <c r="B8">
        <f t="shared" ref="B8:B10" si="9">C7</f>
        <v>148.5</v>
      </c>
      <c r="C8">
        <f t="shared" ref="C8:C10" si="10">B7/2</f>
        <v>105</v>
      </c>
      <c r="D8">
        <v>3</v>
      </c>
      <c r="E8">
        <v>3</v>
      </c>
      <c r="F8">
        <f t="shared" si="5"/>
        <v>160.5</v>
      </c>
      <c r="G8">
        <f t="shared" si="6"/>
        <v>113.48484848484848</v>
      </c>
      <c r="H8">
        <f t="shared" si="8"/>
        <v>79.73571428571428</v>
      </c>
      <c r="I8" t="str">
        <f t="shared" si="7"/>
        <v>160.50</v>
      </c>
      <c r="J8" t="str">
        <f t="shared" si="3"/>
        <v>113.48</v>
      </c>
      <c r="K8" t="str">
        <f t="shared" si="4"/>
        <v>79.74</v>
      </c>
    </row>
    <row r="9" spans="1:11" x14ac:dyDescent="0.25">
      <c r="A9" t="s">
        <v>8</v>
      </c>
      <c r="B9">
        <f t="shared" si="9"/>
        <v>105</v>
      </c>
      <c r="C9">
        <f t="shared" si="10"/>
        <v>74.25</v>
      </c>
      <c r="D9">
        <v>3</v>
      </c>
      <c r="E9">
        <v>3</v>
      </c>
      <c r="F9">
        <f t="shared" si="5"/>
        <v>117</v>
      </c>
      <c r="G9">
        <f t="shared" si="6"/>
        <v>82.73571428571428</v>
      </c>
      <c r="H9">
        <f t="shared" si="8"/>
        <v>57.984848484848484</v>
      </c>
      <c r="I9" t="str">
        <f t="shared" si="7"/>
        <v>117.00</v>
      </c>
      <c r="J9" t="str">
        <f t="shared" si="3"/>
        <v>82.74</v>
      </c>
      <c r="K9" t="str">
        <f t="shared" si="4"/>
        <v>57.98</v>
      </c>
    </row>
    <row r="10" spans="1:11" x14ac:dyDescent="0.25">
      <c r="A10" t="s">
        <v>16</v>
      </c>
      <c r="B10">
        <f t="shared" si="9"/>
        <v>74.25</v>
      </c>
      <c r="C10">
        <f t="shared" si="10"/>
        <v>52.5</v>
      </c>
      <c r="D10">
        <v>3</v>
      </c>
      <c r="E10">
        <v>3</v>
      </c>
      <c r="F10">
        <f t="shared" ref="F10" si="11">B10+D10*2+E10*2</f>
        <v>86.25</v>
      </c>
      <c r="G10">
        <f t="shared" ref="G10" si="12">F10*C10/B10</f>
        <v>60.984848484848484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Schoenaker</dc:creator>
  <cp:lastModifiedBy>Gustavo Schoenaker</cp:lastModifiedBy>
  <dcterms:created xsi:type="dcterms:W3CDTF">2026-03-28T02:57:03Z</dcterms:created>
  <dcterms:modified xsi:type="dcterms:W3CDTF">2026-03-28T03:19:44Z</dcterms:modified>
</cp:coreProperties>
</file>